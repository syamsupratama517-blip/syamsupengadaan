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_AppsScript" sheetId="1" state="visible" r:id="rId1"/>
    <sheet xmlns:r="http://schemas.openxmlformats.org/officeDocument/2006/relationships" name="ref_kabkota" sheetId="2" state="visible" r:id="rId2"/>
    <sheet xmlns:r="http://schemas.openxmlformats.org/officeDocument/2006/relationships" name="ref_jenis_pengadaan" sheetId="3" state="visible" r:id="rId3"/>
    <sheet xmlns:r="http://schemas.openxmlformats.org/officeDocument/2006/relationships" name="ref_status" sheetId="4" state="visible" r:id="rId4"/>
    <sheet xmlns:r="http://schemas.openxmlformats.org/officeDocument/2006/relationships" name="ref_tahun_anggaran" sheetId="5" state="visible" r:id="rId5"/>
    <sheet xmlns:r="http://schemas.openxmlformats.org/officeDocument/2006/relationships" name="trx_pengadaan" sheetId="6" state="visible" r:id="rId6"/>
    <sheet xmlns:r="http://schemas.openxmlformats.org/officeDocument/2006/relationships" name="Kode_AppsScri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0"/>
  </numFmts>
  <fonts count="9">
    <font>
      <name val="Calibri"/>
      <family val="2"/>
      <color theme="1"/>
      <sz val="11"/>
      <scheme val="minor"/>
    </font>
    <font>
      <name val="Arial"/>
      <b val="1"/>
      <color rgb="000F9D58"/>
      <sz val="15"/>
    </font>
    <font>
      <name val="Arial"/>
      <i val="1"/>
      <color rgb="005F6368"/>
      <sz val="9"/>
    </font>
    <font>
      <name val="Arial"/>
      <b val="1"/>
      <color rgb="00137333"/>
      <sz val="11"/>
    </font>
    <font>
      <name val="Arial"/>
      <b val="1"/>
      <color rgb="00FFFFFF"/>
      <sz val="10"/>
    </font>
    <font>
      <name val="Arial"/>
      <b val="1"/>
      <sz val="10"/>
    </font>
    <font>
      <name val="Consolas"/>
      <color rgb="00000000"/>
      <sz val="9.5"/>
    </font>
    <font>
      <name val="Consolas"/>
      <b val="1"/>
      <color rgb="00008000"/>
      <sz val="9.5"/>
    </font>
    <font>
      <name val="Consolas"/>
      <b val="1"/>
      <color rgb="001A73E8"/>
      <sz val="9.5"/>
    </font>
  </fonts>
  <fills count="5">
    <fill>
      <patternFill/>
    </fill>
    <fill>
      <patternFill patternType="gray125"/>
    </fill>
    <fill>
      <patternFill patternType="solid">
        <fgColor rgb="000F9D58"/>
        <bgColor rgb="000F9D58"/>
      </patternFill>
    </fill>
    <fill>
      <patternFill patternType="solid">
        <fgColor rgb="00F8F9FA"/>
        <bgColor rgb="00F8F9FA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DADCE0"/>
      </top>
      <bottom style="double">
        <color rgb="000F9D5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4" fontId="0" fillId="3" borderId="1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pivotButton="0" quotePrefix="0" xfId="0"/>
    <xf numFmtId="164" fontId="5" fillId="4" borderId="2" applyAlignment="1" pivotButton="0" quotePrefix="0" xfId="0">
      <alignment horizontal="right" vertical="center" wrapText="1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80" customWidth="1" min="4" max="4"/>
  </cols>
  <sheetData>
    <row r="1"/>
    <row r="2">
      <c r="B2" s="1" t="inlineStr">
        <is>
          <t>PANDUAN INTEGRASI GOOGLE SHEETS &amp; APPS SCRIPT</t>
        </is>
      </c>
    </row>
    <row r="3">
      <c r="B3" s="2" t="inlineStr">
        <is>
          <t>Langkah-langkah menjadikan Google Sheets ini sebagai REST API / Database Backend</t>
        </is>
      </c>
    </row>
    <row r="4"/>
    <row r="5">
      <c r="B5" s="3" t="inlineStr">
        <is>
          <t>Langkah Terapkan (Deployment):</t>
        </is>
      </c>
    </row>
    <row r="6">
      <c r="B6" s="4" t="inlineStr">
        <is>
          <t>No</t>
        </is>
      </c>
      <c r="C6" s="4" t="inlineStr">
        <is>
          <t>Langkah</t>
        </is>
      </c>
      <c r="D6" s="4" t="inlineStr">
        <is>
          <t>Instruksi Detail</t>
        </is>
      </c>
    </row>
    <row r="7">
      <c r="B7" s="5" t="n">
        <v>1</v>
      </c>
      <c r="C7" s="6" t="inlineStr">
        <is>
          <t>Buka Google Sheets</t>
        </is>
      </c>
      <c r="D7" s="6" t="inlineStr">
        <is>
          <t>Buat Spreadsheet baru di Google Drive, lalu Impor/Upload file Excel ini ke Google Sheets.</t>
        </is>
      </c>
    </row>
    <row r="8">
      <c r="B8" s="7" t="n">
        <v>2</v>
      </c>
      <c r="C8" s="8" t="inlineStr">
        <is>
          <t>Buka Apps Script</t>
        </is>
      </c>
      <c r="D8" s="8" t="inlineStr">
        <is>
          <t>Klik menu 'Ekstensi' (Extensions) -&gt; pilih 'Apps Script'.</t>
        </is>
      </c>
    </row>
    <row r="9">
      <c r="B9" s="5" t="n">
        <v>3</v>
      </c>
      <c r="C9" s="6" t="inlineStr">
        <is>
          <t>Salin Code</t>
        </is>
      </c>
      <c r="D9" s="6" t="inlineStr">
        <is>
          <t>Hapus semua isi di editor, lalu salin (copy-paste) kode Apps Script yang ada di sheet 'Kode_AppsScript'.</t>
        </is>
      </c>
    </row>
    <row r="10">
      <c r="B10" s="7" t="n">
        <v>4</v>
      </c>
      <c r="C10" s="8" t="inlineStr">
        <is>
          <t>Simpan Script</t>
        </is>
      </c>
      <c r="D10" s="8" t="inlineStr">
        <is>
          <t>Klik ikon Simpan (Save) atau tekan Ctrl+S.</t>
        </is>
      </c>
    </row>
    <row r="11">
      <c r="B11" s="5" t="n">
        <v>5</v>
      </c>
      <c r="C11" s="6" t="inlineStr">
        <is>
          <t>Deploy Web App</t>
        </is>
      </c>
      <c r="D11" s="6" t="inlineStr">
        <is>
          <t>Klik tombol 'Terapkan' (Deploy) di kanan atas -&gt; pilih 'Penerapan baru' (New deployment).</t>
        </is>
      </c>
    </row>
    <row r="12">
      <c r="B12" s="7" t="n">
        <v>6</v>
      </c>
      <c r="C12" s="8" t="inlineStr">
        <is>
          <t>Pengaturan Penerapan</t>
        </is>
      </c>
      <c r="D12" s="8" t="inlineStr">
        <is>
          <t>Pilih jenis: 'Aplikasi web' (Web app).
Deskripsi: 'API Rekap Pengadaan'
Jalankan sebagai: 'Saya' (Me)
Yang memiliki akses: 'Siapa saja' (Anyone).</t>
        </is>
      </c>
    </row>
    <row r="13">
      <c r="B13" s="5" t="n">
        <v>7</v>
      </c>
      <c r="C13" s="6" t="inlineStr">
        <is>
          <t>Otorisasi Akses</t>
        </is>
      </c>
      <c r="D13" s="6" t="inlineStr">
        <is>
          <t>Klik 'Terapkan' (Deploy), berikan izin akses (Authorize access) menggunakan akun Google Anda.</t>
        </is>
      </c>
    </row>
    <row r="14">
      <c r="B14" s="7" t="n">
        <v>8</v>
      </c>
      <c r="C14" s="8" t="inlineStr">
        <is>
          <t>Dapatkan URL API</t>
        </is>
      </c>
      <c r="D14" s="8" t="inlineStr">
        <is>
          <t>Salin URL Aplikasi Web (Web App URL) yang dihasilkan. Gunakan URL tersebut pada Javascript frontend Anda!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</cols>
  <sheetData>
    <row r="1"/>
    <row r="2">
      <c r="B2" s="1" t="inlineStr">
        <is>
          <t>TABEL MASTER: KABUPATEN / KOTA (ref_kabkota)</t>
        </is>
      </c>
    </row>
    <row r="3"/>
    <row r="4">
      <c r="B4" s="4" t="inlineStr">
        <is>
          <t>id_kabkota</t>
        </is>
      </c>
      <c r="C4" s="4" t="inlineStr">
        <is>
          <t>nama_kabkota</t>
        </is>
      </c>
      <c r="D4" s="4" t="inlineStr">
        <is>
          <t>kode_wilayah</t>
        </is>
      </c>
    </row>
    <row r="5">
      <c r="B5" s="5" t="n">
        <v>1</v>
      </c>
      <c r="C5" s="6" t="inlineStr">
        <is>
          <t>Pangkalpinang</t>
        </is>
      </c>
      <c r="D5" s="6" t="inlineStr">
        <is>
          <t>19.71</t>
        </is>
      </c>
    </row>
    <row r="6">
      <c r="B6" s="7" t="n">
        <v>2</v>
      </c>
      <c r="C6" s="8" t="inlineStr">
        <is>
          <t>Bangka</t>
        </is>
      </c>
      <c r="D6" s="8" t="inlineStr">
        <is>
          <t>19.01</t>
        </is>
      </c>
    </row>
    <row r="7">
      <c r="B7" s="5" t="n">
        <v>3</v>
      </c>
      <c r="C7" s="6" t="inlineStr">
        <is>
          <t>Bangka Selatan</t>
        </is>
      </c>
      <c r="D7" s="6" t="inlineStr">
        <is>
          <t>19.03</t>
        </is>
      </c>
    </row>
    <row r="8">
      <c r="B8" s="7" t="n">
        <v>4</v>
      </c>
      <c r="C8" s="8" t="inlineStr">
        <is>
          <t>Bangka Tengah</t>
        </is>
      </c>
      <c r="D8" s="8" t="inlineStr">
        <is>
          <t>19.04</t>
        </is>
      </c>
    </row>
    <row r="9">
      <c r="B9" s="5" t="n">
        <v>5</v>
      </c>
      <c r="C9" s="6" t="inlineStr">
        <is>
          <t>Belitung</t>
        </is>
      </c>
      <c r="D9" s="6" t="inlineStr">
        <is>
          <t>19.02</t>
        </is>
      </c>
    </row>
    <row r="10">
      <c r="B10" s="7" t="n">
        <v>6</v>
      </c>
      <c r="C10" s="8" t="inlineStr">
        <is>
          <t>Belitung Timur</t>
        </is>
      </c>
      <c r="D10" s="8" t="inlineStr">
        <is>
          <t>19.06</t>
        </is>
      </c>
    </row>
    <row r="11">
      <c r="B11" s="5" t="n">
        <v>7</v>
      </c>
      <c r="C11" s="6" t="inlineStr">
        <is>
          <t>Bangka Barat</t>
        </is>
      </c>
      <c r="D11" s="6" t="inlineStr">
        <is>
          <t>19.05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58" customWidth="1" min="4" max="4"/>
  </cols>
  <sheetData>
    <row r="1"/>
    <row r="2">
      <c r="B2" s="1" t="inlineStr">
        <is>
          <t>TABEL MASTER: JENIS PENGADAAN (ref_jenis_pengadaan)</t>
        </is>
      </c>
    </row>
    <row r="3"/>
    <row r="4">
      <c r="B4" s="4" t="inlineStr">
        <is>
          <t>id_jenis</t>
        </is>
      </c>
      <c r="C4" s="4" t="inlineStr">
        <is>
          <t>nama_jenis</t>
        </is>
      </c>
      <c r="D4" s="4" t="inlineStr">
        <is>
          <t>keterangan</t>
        </is>
      </c>
    </row>
    <row r="5">
      <c r="B5" s="5" t="n">
        <v>1</v>
      </c>
      <c r="C5" s="6" t="inlineStr">
        <is>
          <t>Barang</t>
        </is>
      </c>
      <c r="D5" s="6" t="inlineStr">
        <is>
          <t>Pengadaan aset, material, komputer, ATK, dll</t>
        </is>
      </c>
    </row>
    <row r="6">
      <c r="B6" s="7" t="n">
        <v>2</v>
      </c>
      <c r="C6" s="8" t="inlineStr">
        <is>
          <t>Jasa</t>
        </is>
      </c>
      <c r="D6" s="8" t="inlineStr">
        <is>
          <t>Jasa kebersihan, keamanan, sewa, dll</t>
        </is>
      </c>
    </row>
    <row r="7">
      <c r="B7" s="5" t="n">
        <v>3</v>
      </c>
      <c r="C7" s="6" t="inlineStr">
        <is>
          <t>Konstruksi</t>
        </is>
      </c>
      <c r="D7" s="6" t="inlineStr">
        <is>
          <t>Pekerjaan fisik pembangunan, pemeliharaan gedung/jalan</t>
        </is>
      </c>
    </row>
    <row r="8">
      <c r="B8" s="7" t="n">
        <v>4</v>
      </c>
      <c r="C8" s="8" t="inlineStr">
        <is>
          <t>Jasa Konsultansi</t>
        </is>
      </c>
      <c r="D8" s="8" t="inlineStr">
        <is>
          <t>Jasa keahliahn, perancangan, pengawasan, studi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</cols>
  <sheetData>
    <row r="1"/>
    <row r="2">
      <c r="B2" s="1" t="inlineStr">
        <is>
          <t>TABEL MASTER: STATUS PENGADAAN (ref_status)</t>
        </is>
      </c>
    </row>
    <row r="3"/>
    <row r="4">
      <c r="B4" s="4" t="inlineStr">
        <is>
          <t>id_status</t>
        </is>
      </c>
      <c r="C4" s="4" t="inlineStr">
        <is>
          <t>nama_status</t>
        </is>
      </c>
      <c r="D4" s="4" t="inlineStr">
        <is>
          <t>warna_badge</t>
        </is>
      </c>
    </row>
    <row r="5">
      <c r="B5" s="5" t="n">
        <v>1</v>
      </c>
      <c r="C5" s="6" t="inlineStr">
        <is>
          <t>Selesai</t>
        </is>
      </c>
      <c r="D5" s="6" t="inlineStr">
        <is>
          <t>success</t>
        </is>
      </c>
    </row>
    <row r="6">
      <c r="B6" s="7" t="n">
        <v>2</v>
      </c>
      <c r="C6" s="8" t="inlineStr">
        <is>
          <t>Berjalan</t>
        </is>
      </c>
      <c r="D6" s="8" t="inlineStr">
        <is>
          <t>warning</t>
        </is>
      </c>
    </row>
    <row r="7">
      <c r="B7" s="5" t="n">
        <v>3</v>
      </c>
      <c r="C7" s="6" t="inlineStr">
        <is>
          <t>Dibatalkan</t>
        </is>
      </c>
      <c r="D7" s="6" t="inlineStr">
        <is>
          <t>danger</t>
        </is>
      </c>
    </row>
    <row r="8">
      <c r="B8" s="7" t="n">
        <v>4</v>
      </c>
      <c r="C8" s="8" t="inlineStr">
        <is>
          <t>Persiapan</t>
        </is>
      </c>
      <c r="D8" s="8" t="inlineStr">
        <is>
          <t>info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/>
    <row r="2">
      <c r="B2" s="1" t="inlineStr">
        <is>
          <t>TABEL MASTER: TAHUN ANGGARAN (ref_tahun_anggaran)</t>
        </is>
      </c>
    </row>
    <row r="3"/>
    <row r="4">
      <c r="B4" s="4" t="inlineStr">
        <is>
          <t>id_tahun</t>
        </is>
      </c>
      <c r="C4" s="4" t="inlineStr">
        <is>
          <t>tahun</t>
        </is>
      </c>
      <c r="D4" s="4" t="inlineStr">
        <is>
          <t>is_active</t>
        </is>
      </c>
    </row>
    <row r="5">
      <c r="B5" s="5" t="n">
        <v>1</v>
      </c>
      <c r="C5" s="6" t="n">
        <v>2024</v>
      </c>
      <c r="D5" s="6" t="inlineStr">
        <is>
          <t>T</t>
        </is>
      </c>
    </row>
    <row r="6">
      <c r="B6" s="7" t="n">
        <v>2</v>
      </c>
      <c r="C6" s="8" t="n">
        <v>2025</v>
      </c>
      <c r="D6" s="8" t="inlineStr">
        <is>
          <t>T</t>
        </is>
      </c>
    </row>
    <row r="7">
      <c r="B7" s="5" t="n">
        <v>3</v>
      </c>
      <c r="C7" s="6" t="n">
        <v>2026</v>
      </c>
      <c r="D7" s="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1" customWidth="1" min="4" max="4"/>
    <col width="14" customWidth="1" min="5" max="5"/>
    <col width="49" customWidth="1" min="6" max="6"/>
    <col width="12" customWidth="1" min="7" max="7"/>
    <col width="56" customWidth="1" min="8" max="8"/>
    <col width="13" customWidth="1" min="9" max="9"/>
    <col width="47" customWidth="1" min="10" max="10"/>
    <col width="12" customWidth="1" min="11" max="11"/>
    <col width="55" customWidth="1" min="12" max="12"/>
    <col width="17" customWidth="1" min="13" max="13"/>
  </cols>
  <sheetData>
    <row r="1"/>
    <row r="2">
      <c r="B2" s="1" t="inlineStr">
        <is>
          <t>TABEL TRANSAKSI: REKAP PENGADAAN (trx_pengadaan)</t>
        </is>
      </c>
    </row>
    <row r="3">
      <c r="B3" s="2" t="inlineStr">
        <is>
          <t>Data transaksi pengadaan yang terelasi secara otomatis dengan tabel ref</t>
        </is>
      </c>
    </row>
    <row r="4">
      <c r="B4" s="4" t="inlineStr">
        <is>
          <t>id_pengadaan</t>
        </is>
      </c>
      <c r="C4" s="4" t="inlineStr">
        <is>
          <t>kode_paket</t>
        </is>
      </c>
      <c r="D4" s="4" t="inlineStr">
        <is>
          <t>nama_paket</t>
        </is>
      </c>
      <c r="E4" s="4" t="inlineStr">
        <is>
          <t>id_kabkota</t>
        </is>
      </c>
      <c r="F4" s="4" t="inlineStr">
        <is>
          <t>nama_kabkota</t>
        </is>
      </c>
      <c r="G4" s="4" t="inlineStr">
        <is>
          <t>id_jenis</t>
        </is>
      </c>
      <c r="H4" s="4" t="inlineStr">
        <is>
          <t>nama_jenis</t>
        </is>
      </c>
      <c r="I4" s="4" t="inlineStr">
        <is>
          <t>id_status</t>
        </is>
      </c>
      <c r="J4" s="4" t="inlineStr">
        <is>
          <t>nama_status</t>
        </is>
      </c>
      <c r="K4" s="4" t="inlineStr">
        <is>
          <t>id_tahun</t>
        </is>
      </c>
      <c r="L4" s="4" t="inlineStr">
        <is>
          <t>tahun</t>
        </is>
      </c>
      <c r="M4" s="4" t="inlineStr">
        <is>
          <t>nilai_kontrak</t>
        </is>
      </c>
    </row>
    <row r="5">
      <c r="B5" s="5" t="n">
        <v>1</v>
      </c>
      <c r="C5" s="5" t="inlineStr">
        <is>
          <t>PKG-2026-001</t>
        </is>
      </c>
      <c r="D5" s="6" t="inlineStr">
        <is>
          <t>Pengadaan Komputer dan Supplies</t>
        </is>
      </c>
      <c r="E5" s="5" t="n">
        <v>1</v>
      </c>
      <c r="F5" s="6">
        <f>VLOOKUP(E5, ref_kabkota!B$5:C$11, 2, FALSE)</f>
        <v/>
      </c>
      <c r="G5" s="5" t="n">
        <v>1</v>
      </c>
      <c r="H5" s="6">
        <f>VLOOKUP(G5, ref_jenis_pengadaan!B$5:C$8, 2, FALSE)</f>
        <v/>
      </c>
      <c r="I5" s="5" t="n">
        <v>1</v>
      </c>
      <c r="J5" s="5">
        <f>VLOOKUP(I5, ref_status!B$5:C$8, 2, FALSE)</f>
        <v/>
      </c>
      <c r="K5" s="5" t="n">
        <v>3</v>
      </c>
      <c r="L5" s="5">
        <f>VLOOKUP(K5, ref_tahun_anggaran!B$5:C$7, 2, FALSE)</f>
        <v/>
      </c>
      <c r="M5" s="9" t="n">
        <v>78440000</v>
      </c>
    </row>
    <row r="6">
      <c r="B6" s="7" t="n">
        <v>2</v>
      </c>
      <c r="C6" s="7" t="inlineStr">
        <is>
          <t>PKG-2026-002</t>
        </is>
      </c>
      <c r="D6" s="8" t="inlineStr">
        <is>
          <t>Pengadaan ATK Perkantoran</t>
        </is>
      </c>
      <c r="E6" s="7" t="n">
        <v>2</v>
      </c>
      <c r="F6" s="8">
        <f>VLOOKUP(E6, ref_kabkota!B$5:C$11, 2, FALSE)</f>
        <v/>
      </c>
      <c r="G6" s="7" t="n">
        <v>1</v>
      </c>
      <c r="H6" s="8">
        <f>VLOOKUP(G6, ref_jenis_pengadaan!B$5:C$8, 2, FALSE)</f>
        <v/>
      </c>
      <c r="I6" s="7" t="n">
        <v>1</v>
      </c>
      <c r="J6" s="7">
        <f>VLOOKUP(I6, ref_status!B$5:C$8, 2, FALSE)</f>
        <v/>
      </c>
      <c r="K6" s="7" t="n">
        <v>3</v>
      </c>
      <c r="L6" s="7">
        <f>VLOOKUP(K6, ref_tahun_anggaran!B$5:C$7, 2, FALSE)</f>
        <v/>
      </c>
      <c r="M6" s="10" t="n">
        <v>42500000</v>
      </c>
    </row>
    <row r="7">
      <c r="B7" s="5" t="n">
        <v>3</v>
      </c>
      <c r="C7" s="5" t="inlineStr">
        <is>
          <t>PKG-2026-003</t>
        </is>
      </c>
      <c r="D7" s="6" t="inlineStr">
        <is>
          <t>Jasa Keamanan Gedung</t>
        </is>
      </c>
      <c r="E7" s="5" t="n">
        <v>3</v>
      </c>
      <c r="F7" s="6">
        <f>VLOOKUP(E7, ref_kabkota!B$5:C$11, 2, FALSE)</f>
        <v/>
      </c>
      <c r="G7" s="5" t="n">
        <v>2</v>
      </c>
      <c r="H7" s="6">
        <f>VLOOKUP(G7, ref_jenis_pengadaan!B$5:C$8, 2, FALSE)</f>
        <v/>
      </c>
      <c r="I7" s="5" t="n">
        <v>2</v>
      </c>
      <c r="J7" s="5">
        <f>VLOOKUP(I7, ref_status!B$5:C$8, 2, FALSE)</f>
        <v/>
      </c>
      <c r="K7" s="5" t="n">
        <v>3</v>
      </c>
      <c r="L7" s="5">
        <f>VLOOKUP(K7, ref_tahun_anggaran!B$5:C$7, 2, FALSE)</f>
        <v/>
      </c>
      <c r="M7" s="9" t="n">
        <v>185000000</v>
      </c>
    </row>
    <row r="8">
      <c r="B8" s="7" t="n">
        <v>4</v>
      </c>
      <c r="C8" s="7" t="inlineStr">
        <is>
          <t>PKG-2026-004</t>
        </is>
      </c>
      <c r="D8" s="8" t="inlineStr">
        <is>
          <t>Pemeliharaan Gedung Kantor</t>
        </is>
      </c>
      <c r="E8" s="7" t="n">
        <v>4</v>
      </c>
      <c r="F8" s="8">
        <f>VLOOKUP(E8, ref_kabkota!B$5:C$11, 2, FALSE)</f>
        <v/>
      </c>
      <c r="G8" s="7" t="n">
        <v>3</v>
      </c>
      <c r="H8" s="8">
        <f>VLOOKUP(G8, ref_jenis_pengadaan!B$5:C$8, 2, FALSE)</f>
        <v/>
      </c>
      <c r="I8" s="7" t="n">
        <v>1</v>
      </c>
      <c r="J8" s="7">
        <f>VLOOKUP(I8, ref_status!B$5:C$8, 2, FALSE)</f>
        <v/>
      </c>
      <c r="K8" s="7" t="n">
        <v>3</v>
      </c>
      <c r="L8" s="7">
        <f>VLOOKUP(K8, ref_tahun_anggaran!B$5:C$7, 2, FALSE)</f>
        <v/>
      </c>
      <c r="M8" s="10" t="n">
        <v>225000000</v>
      </c>
    </row>
    <row r="9">
      <c r="B9" s="5" t="n">
        <v>5</v>
      </c>
      <c r="C9" s="5" t="inlineStr">
        <is>
          <t>PKG-2026-005</t>
        </is>
      </c>
      <c r="D9" s="6" t="inlineStr">
        <is>
          <t>Jasa Konsultansi Perencanaan</t>
        </is>
      </c>
      <c r="E9" s="5" t="n">
        <v>5</v>
      </c>
      <c r="F9" s="6">
        <f>VLOOKUP(E9, ref_kabkota!B$5:C$11, 2, FALSE)</f>
        <v/>
      </c>
      <c r="G9" s="5" t="n">
        <v>4</v>
      </c>
      <c r="H9" s="6">
        <f>VLOOKUP(G9, ref_jenis_pengadaan!B$5:C$8, 2, FALSE)</f>
        <v/>
      </c>
      <c r="I9" s="5" t="n">
        <v>2</v>
      </c>
      <c r="J9" s="5">
        <f>VLOOKUP(I9, ref_status!B$5:C$8, 2, FALSE)</f>
        <v/>
      </c>
      <c r="K9" s="5" t="n">
        <v>3</v>
      </c>
      <c r="L9" s="5">
        <f>VLOOKUP(K9, ref_tahun_anggaran!B$5:C$7, 2, FALSE)</f>
        <v/>
      </c>
      <c r="M9" s="9" t="n">
        <v>95000000</v>
      </c>
    </row>
    <row r="10">
      <c r="B10" s="7" t="n">
        <v>6</v>
      </c>
      <c r="C10" s="7" t="inlineStr">
        <is>
          <t>PKG-2026-006</t>
        </is>
      </c>
      <c r="D10" s="8" t="inlineStr">
        <is>
          <t>Pengadaan Printer dan Perlengkapan</t>
        </is>
      </c>
      <c r="E10" s="7" t="n">
        <v>6</v>
      </c>
      <c r="F10" s="8">
        <f>VLOOKUP(E10, ref_kabkota!B$5:C$11, 2, FALSE)</f>
        <v/>
      </c>
      <c r="G10" s="7" t="n">
        <v>1</v>
      </c>
      <c r="H10" s="8">
        <f>VLOOKUP(G10, ref_jenis_pengadaan!B$5:C$8, 2, FALSE)</f>
        <v/>
      </c>
      <c r="I10" s="7" t="n">
        <v>1</v>
      </c>
      <c r="J10" s="7">
        <f>VLOOKUP(I10, ref_status!B$5:C$8, 2, FALSE)</f>
        <v/>
      </c>
      <c r="K10" s="7" t="n">
        <v>3</v>
      </c>
      <c r="L10" s="7">
        <f>VLOOKUP(K10, ref_tahun_anggaran!B$5:C$7, 2, FALSE)</f>
        <v/>
      </c>
      <c r="M10" s="10" t="n">
        <v>38500000</v>
      </c>
    </row>
    <row r="11">
      <c r="B11" s="5" t="n">
        <v>7</v>
      </c>
      <c r="C11" s="5" t="inlineStr">
        <is>
          <t>PKG-2026-007</t>
        </is>
      </c>
      <c r="D11" s="6" t="inlineStr">
        <is>
          <t>Jasa Cleaning Service</t>
        </is>
      </c>
      <c r="E11" s="5" t="n">
        <v>7</v>
      </c>
      <c r="F11" s="6">
        <f>VLOOKUP(E11, ref_kabkota!B$5:C$11, 2, FALSE)</f>
        <v/>
      </c>
      <c r="G11" s="5" t="n">
        <v>2</v>
      </c>
      <c r="H11" s="6">
        <f>VLOOKUP(G11, ref_jenis_pengadaan!B$5:C$8, 2, FALSE)</f>
        <v/>
      </c>
      <c r="I11" s="5" t="n">
        <v>2</v>
      </c>
      <c r="J11" s="5">
        <f>VLOOKUP(I11, ref_status!B$5:C$8, 2, FALSE)</f>
        <v/>
      </c>
      <c r="K11" s="5" t="n">
        <v>3</v>
      </c>
      <c r="L11" s="5">
        <f>VLOOKUP(K11, ref_tahun_anggaran!B$5:C$7, 2, FALSE)</f>
        <v/>
      </c>
      <c r="M11" s="9" t="n">
        <v>120000000</v>
      </c>
    </row>
    <row r="12">
      <c r="B12" s="7" t="n">
        <v>8</v>
      </c>
      <c r="C12" s="7" t="inlineStr">
        <is>
          <t>PKG-2026-008</t>
        </is>
      </c>
      <c r="D12" s="8" t="inlineStr">
        <is>
          <t>Pengadaan CCTV dan Perangkat Keamanan</t>
        </is>
      </c>
      <c r="E12" s="7" t="n">
        <v>1</v>
      </c>
      <c r="F12" s="8">
        <f>VLOOKUP(E12, ref_kabkota!B$5:C$11, 2, FALSE)</f>
        <v/>
      </c>
      <c r="G12" s="7" t="n">
        <v>1</v>
      </c>
      <c r="H12" s="8">
        <f>VLOOKUP(G12, ref_jenis_pengadaan!B$5:C$8, 2, FALSE)</f>
        <v/>
      </c>
      <c r="I12" s="7" t="n">
        <v>1</v>
      </c>
      <c r="J12" s="7">
        <f>VLOOKUP(I12, ref_status!B$5:C$8, 2, FALSE)</f>
        <v/>
      </c>
      <c r="K12" s="7" t="n">
        <v>3</v>
      </c>
      <c r="L12" s="7">
        <f>VLOOKUP(K12, ref_tahun_anggaran!B$5:C$7, 2, FALSE)</f>
        <v/>
      </c>
      <c r="M12" s="10" t="n">
        <v>67500000</v>
      </c>
    </row>
    <row r="13">
      <c r="B13" s="5" t="n">
        <v>9</v>
      </c>
      <c r="C13" s="5" t="inlineStr">
        <is>
          <t>PKG-2026-009</t>
        </is>
      </c>
      <c r="D13" s="6" t="inlineStr">
        <is>
          <t>Pemeliharaan Jaringan Listrik</t>
        </is>
      </c>
      <c r="E13" s="5" t="n">
        <v>2</v>
      </c>
      <c r="F13" s="6">
        <f>VLOOKUP(E13, ref_kabkota!B$5:C$11, 2, FALSE)</f>
        <v/>
      </c>
      <c r="G13" s="5" t="n">
        <v>3</v>
      </c>
      <c r="H13" s="6">
        <f>VLOOKUP(G13, ref_jenis_pengadaan!B$5:C$8, 2, FALSE)</f>
        <v/>
      </c>
      <c r="I13" s="5" t="n">
        <v>2</v>
      </c>
      <c r="J13" s="5">
        <f>VLOOKUP(I13, ref_status!B$5:C$8, 2, FALSE)</f>
        <v/>
      </c>
      <c r="K13" s="5" t="n">
        <v>3</v>
      </c>
      <c r="L13" s="5">
        <f>VLOOKUP(K13, ref_tahun_anggaran!B$5:C$7, 2, FALSE)</f>
        <v/>
      </c>
      <c r="M13" s="9" t="n">
        <v>143000000</v>
      </c>
    </row>
    <row r="14">
      <c r="B14" s="7" t="n">
        <v>10</v>
      </c>
      <c r="C14" s="7" t="inlineStr">
        <is>
          <t>PKG-2026-010</t>
        </is>
      </c>
      <c r="D14" s="8" t="inlineStr">
        <is>
          <t>Pengadaan Meja dan Kursi</t>
        </is>
      </c>
      <c r="E14" s="7" t="n">
        <v>3</v>
      </c>
      <c r="F14" s="8">
        <f>VLOOKUP(E14, ref_kabkota!B$5:C$11, 2, FALSE)</f>
        <v/>
      </c>
      <c r="G14" s="7" t="n">
        <v>1</v>
      </c>
      <c r="H14" s="8">
        <f>VLOOKUP(G14, ref_jenis_pengadaan!B$5:C$8, 2, FALSE)</f>
        <v/>
      </c>
      <c r="I14" s="7" t="n">
        <v>1</v>
      </c>
      <c r="J14" s="7">
        <f>VLOOKUP(I14, ref_status!B$5:C$8, 2, FALSE)</f>
        <v/>
      </c>
      <c r="K14" s="7" t="n">
        <v>3</v>
      </c>
      <c r="L14" s="7">
        <f>VLOOKUP(K14, ref_tahun_anggaran!B$5:C$7, 2, FALSE)</f>
        <v/>
      </c>
      <c r="M14" s="10" t="n">
        <v>88000000</v>
      </c>
    </row>
    <row r="15">
      <c r="B15" s="11" t="inlineStr">
        <is>
          <t>TOTAL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>
        <f>SUM(M5:M14)</f>
        <v/>
      </c>
    </row>
  </sheetData>
  <mergeCells count="1">
    <mergeCell ref="B15:L15"/>
  </mergeCells>
  <dataValidations count="4">
    <dataValidation sqref="E5:E14" showDropDown="0" showInputMessage="0" showErrorMessage="0" allowBlank="1" type="list">
      <formula1>ref_kabkota!$B$5:$B$11</formula1>
    </dataValidation>
    <dataValidation sqref="G5:G14" showDropDown="0" showInputMessage="0" showErrorMessage="0" allowBlank="1" type="list">
      <formula1>ref_jenis_pengadaan!$B$5:$B$8</formula1>
    </dataValidation>
    <dataValidation sqref="I5:I14" showDropDown="0" showInputMessage="0" showErrorMessage="0" allowBlank="1" type="list">
      <formula1>ref_status!$B$5:$B$8</formula1>
    </dataValidation>
    <dataValidation sqref="K5:K14" showDropDown="0" showInputMessage="0" showErrorMessage="0" allowBlank="1" type="list">
      <formula1>ref_tahun_anggaran!$B$5:$B$7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/>
    <row r="2">
      <c r="B2" s="1" t="inlineStr">
        <is>
          <t>KODE APPS SCRIPT (Google Apps Script Backend)</t>
        </is>
      </c>
    </row>
    <row r="3">
      <c r="B3" s="2" t="inlineStr">
        <is>
          <t>Copy seluruh kode di bawah ini ke menu Ekstensi &gt; Apps Script di Google Sheets Anda</t>
        </is>
      </c>
    </row>
    <row r="4"/>
    <row r="5">
      <c r="B5" s="14" t="inlineStr">
        <is>
          <t>// ===========================================================</t>
        </is>
      </c>
    </row>
    <row r="6">
      <c r="B6" s="14" t="inlineStr">
        <is>
          <t>// GOOGLE APPS SCRIPT BACKEND FOR REKAP PENGADAAN API</t>
        </is>
      </c>
    </row>
    <row r="7">
      <c r="B7" s="14" t="inlineStr">
        <is>
          <t>// ===========================================================</t>
        </is>
      </c>
    </row>
    <row r="8">
      <c r="B8" s="15" t="inlineStr"/>
    </row>
    <row r="9">
      <c r="B9" s="16" t="inlineStr">
        <is>
          <t>function doGet(e) {</t>
        </is>
      </c>
    </row>
    <row r="10">
      <c r="B10" s="15" t="inlineStr">
        <is>
          <t xml:space="preserve">  var ss = SpreadsheetApp.getActiveSpreadsheet();</t>
        </is>
      </c>
    </row>
    <row r="11">
      <c r="B11" s="15" t="inlineStr">
        <is>
          <t xml:space="preserve">  var sheet = ss.getSheetByName('trx_pengadaan');</t>
        </is>
      </c>
    </row>
    <row r="12">
      <c r="B12" s="15" t="inlineStr">
        <is>
          <t xml:space="preserve">  var data = sheet.getDataRange().getValues();</t>
        </is>
      </c>
    </row>
    <row r="13">
      <c r="B13" s="15" t="inlineStr">
        <is>
          <t xml:space="preserve">  </t>
        </is>
      </c>
    </row>
    <row r="14">
      <c r="B14" s="15" t="inlineStr">
        <is>
          <t xml:space="preserve">  // Baris 4 adalah header, data dimulai baris 5 (indeks 4)</t>
        </is>
      </c>
    </row>
    <row r="15">
      <c r="B15" s="15" t="inlineStr">
        <is>
          <t xml:space="preserve">  var headers = data[3];</t>
        </is>
      </c>
    </row>
    <row r="16">
      <c r="B16" s="15" t="inlineStr">
        <is>
          <t xml:space="preserve">  var rows = data.slice(4);</t>
        </is>
      </c>
    </row>
    <row r="17">
      <c r="B17" s="15" t="inlineStr">
        <is>
          <t xml:space="preserve">  </t>
        </is>
      </c>
    </row>
    <row r="18">
      <c r="B18" s="15" t="inlineStr">
        <is>
          <t xml:space="preserve">  var result = [];</t>
        </is>
      </c>
    </row>
    <row r="19">
      <c r="B19" s="15" t="inlineStr">
        <is>
          <t xml:space="preserve">  </t>
        </is>
      </c>
    </row>
    <row r="20">
      <c r="B20" s="15" t="inlineStr">
        <is>
          <t xml:space="preserve">  for (var i = 0; i &lt; rows.length; i++) {</t>
        </is>
      </c>
    </row>
    <row r="21">
      <c r="B21" s="15" t="inlineStr">
        <is>
          <t xml:space="preserve">    var row = rows[i];</t>
        </is>
      </c>
    </row>
    <row r="22">
      <c r="B22" s="15" t="inlineStr">
        <is>
          <t xml:space="preserve">    // Abaikan baris TOTAL atau baris kosong</t>
        </is>
      </c>
    </row>
    <row r="23">
      <c r="B23" s="15" t="inlineStr">
        <is>
          <t xml:space="preserve">    if (!row[0] || row[0] === 'TOTAL') continue;</t>
        </is>
      </c>
    </row>
    <row r="24">
      <c r="B24" s="15" t="inlineStr">
        <is>
          <t xml:space="preserve">    </t>
        </is>
      </c>
    </row>
    <row r="25">
      <c r="B25" s="15" t="inlineStr">
        <is>
          <t xml:space="preserve">    result.push({</t>
        </is>
      </c>
    </row>
    <row r="26">
      <c r="B26" s="15" t="inlineStr">
        <is>
          <t xml:space="preserve">      id_pengadaan: row[0],</t>
        </is>
      </c>
    </row>
    <row r="27">
      <c r="B27" s="15" t="inlineStr">
        <is>
          <t xml:space="preserve">      kode_paket: row[1],</t>
        </is>
      </c>
    </row>
    <row r="28">
      <c r="B28" s="15" t="inlineStr">
        <is>
          <t xml:space="preserve">      paket: row[2],</t>
        </is>
      </c>
    </row>
    <row r="29">
      <c r="B29" s="15" t="inlineStr">
        <is>
          <t xml:space="preserve">      id_kabkota: row[3],</t>
        </is>
      </c>
    </row>
    <row r="30">
      <c r="B30" s="15" t="inlineStr">
        <is>
          <t xml:space="preserve">      kab: row[4],        // Nama Kab/Kota hasil lookup</t>
        </is>
      </c>
    </row>
    <row r="31">
      <c r="B31" s="15" t="inlineStr">
        <is>
          <t xml:space="preserve">      id_jenis: row[5],</t>
        </is>
      </c>
    </row>
    <row r="32">
      <c r="B32" s="15" t="inlineStr">
        <is>
          <t xml:space="preserve">      jenis: row[6],      // Nama Jenis hasil lookup</t>
        </is>
      </c>
    </row>
    <row r="33">
      <c r="B33" s="15" t="inlineStr">
        <is>
          <t xml:space="preserve">      id_status: row[7],</t>
        </is>
      </c>
    </row>
    <row r="34">
      <c r="B34" s="15" t="inlineStr">
        <is>
          <t xml:space="preserve">      status: row[8],     // Status hasil lookup</t>
        </is>
      </c>
    </row>
    <row r="35">
      <c r="B35" s="15" t="inlineStr">
        <is>
          <t xml:space="preserve">      id_tahun: row[9],</t>
        </is>
      </c>
    </row>
    <row r="36">
      <c r="B36" s="15" t="inlineStr">
        <is>
          <t xml:space="preserve">      tahun: row[10],</t>
        </is>
      </c>
    </row>
    <row r="37">
      <c r="B37" s="15" t="inlineStr">
        <is>
          <t xml:space="preserve">      nilai: row[11]      // Nilai Kontrak</t>
        </is>
      </c>
    </row>
    <row r="38">
      <c r="B38" s="15" t="inlineStr">
        <is>
          <t xml:space="preserve">    });</t>
        </is>
      </c>
    </row>
    <row r="39">
      <c r="B39" s="15" t="inlineStr">
        <is>
          <t xml:space="preserve">  }</t>
        </is>
      </c>
    </row>
    <row r="40">
      <c r="B40" s="15" t="inlineStr">
        <is>
          <t xml:space="preserve">  </t>
        </is>
      </c>
    </row>
    <row r="41">
      <c r="B41" s="15" t="inlineStr">
        <is>
          <t xml:space="preserve">  return ContentService</t>
        </is>
      </c>
    </row>
    <row r="42">
      <c r="B42" s="15" t="inlineStr">
        <is>
          <t xml:space="preserve">    .createTextOutput(JSON.stringify({ status: 'success', data: result }))</t>
        </is>
      </c>
    </row>
    <row r="43">
      <c r="B43" s="15" t="inlineStr">
        <is>
          <t xml:space="preserve">    .setMimeType(ContentService.MimeType.JSON);</t>
        </is>
      </c>
    </row>
    <row r="44">
      <c r="B44" s="15" t="inlineStr">
        <is>
          <t>}</t>
        </is>
      </c>
    </row>
    <row r="45">
      <c r="B45" s="15" t="inlineStr"/>
    </row>
    <row r="46">
      <c r="B46" s="16" t="inlineStr">
        <is>
          <t>function doPost(e) {</t>
        </is>
      </c>
    </row>
    <row r="47">
      <c r="B47" s="15" t="inlineStr">
        <is>
          <t xml:space="preserve">  try {</t>
        </is>
      </c>
    </row>
    <row r="48">
      <c r="B48" s="15" t="inlineStr">
        <is>
          <t xml:space="preserve">    var ss = SpreadsheetApp.getActiveSpreadsheet();</t>
        </is>
      </c>
    </row>
    <row r="49">
      <c r="B49" s="15" t="inlineStr">
        <is>
          <t xml:space="preserve">    var sheet = ss.getSheetByName('trx_pengadaan');</t>
        </is>
      </c>
    </row>
    <row r="50">
      <c r="B50" s="15" t="inlineStr">
        <is>
          <t xml:space="preserve">    var postData = JSON.parse(e.postData.contents);</t>
        </is>
      </c>
    </row>
    <row r="51">
      <c r="B51" s="15" t="inlineStr">
        <is>
          <t xml:space="preserve">    </t>
        </is>
      </c>
    </row>
    <row r="52">
      <c r="B52" s="15" t="inlineStr">
        <is>
          <t xml:space="preserve">    // Cari ID terakhir</t>
        </is>
      </c>
    </row>
    <row r="53">
      <c r="B53" s="15" t="inlineStr">
        <is>
          <t xml:space="preserve">    var lastRow = sheet.getLastRow();</t>
        </is>
      </c>
    </row>
    <row r="54">
      <c r="B54" s="15" t="inlineStr">
        <is>
          <t xml:space="preserve">    var newId = lastRow - 3; // Estimasi auto increment</t>
        </is>
      </c>
    </row>
    <row r="55">
      <c r="B55" s="15" t="inlineStr">
        <is>
          <t xml:space="preserve">    </t>
        </is>
      </c>
    </row>
    <row r="56">
      <c r="B56" s="15" t="inlineStr">
        <is>
          <t xml:space="preserve">    // Tambah data baru (sesuai urutan kolom)</t>
        </is>
      </c>
    </row>
    <row r="57">
      <c r="B57" s="15" t="inlineStr">
        <is>
          <t xml:space="preserve">    sheet.appendRow([</t>
        </is>
      </c>
    </row>
    <row r="58">
      <c r="B58" s="15" t="inlineStr">
        <is>
          <t xml:space="preserve">      newId,</t>
        </is>
      </c>
    </row>
    <row r="59">
      <c r="B59" s="15" t="inlineStr">
        <is>
          <t xml:space="preserve">      postData.kode_paket,</t>
        </is>
      </c>
    </row>
    <row r="60">
      <c r="B60" s="15" t="inlineStr">
        <is>
          <t xml:space="preserve">      postData.nama_paket,</t>
        </is>
      </c>
    </row>
    <row r="61">
      <c r="B61" s="15" t="inlineStr">
        <is>
          <t xml:space="preserve">      postData.id_kabkota,</t>
        </is>
      </c>
    </row>
    <row r="62">
      <c r="B62" s="15" t="inlineStr">
        <is>
          <t xml:space="preserve">      '=VLOOKUP(E' + (lastRow+1) + ', ref_kabkota!B$5:C$11, 2, FALSE)',</t>
        </is>
      </c>
    </row>
    <row r="63">
      <c r="B63" s="15" t="inlineStr">
        <is>
          <t xml:space="preserve">      postData.id_jenis,</t>
        </is>
      </c>
    </row>
    <row r="64">
      <c r="B64" s="15" t="inlineStr">
        <is>
          <t xml:space="preserve">      '=VLOOKUP(G' + (lastRow+1) + ', ref_jenis_pengadaan!B$5:C$8, 2, FALSE)',</t>
        </is>
      </c>
    </row>
    <row r="65">
      <c r="B65" s="15" t="inlineStr">
        <is>
          <t xml:space="preserve">      postData.id_status,</t>
        </is>
      </c>
    </row>
    <row r="66">
      <c r="B66" s="15" t="inlineStr">
        <is>
          <t xml:space="preserve">      '=VLOOKUP(I' + (lastRow+1) + ', ref_status!B$5:C$8, 2, FALSE)',</t>
        </is>
      </c>
    </row>
    <row r="67">
      <c r="B67" s="15" t="inlineStr">
        <is>
          <t xml:space="preserve">      postData.id_tahun,</t>
        </is>
      </c>
    </row>
    <row r="68">
      <c r="B68" s="15" t="inlineStr">
        <is>
          <t xml:space="preserve">      '=VLOOKUP(K' + (lastRow+1) + ', ref_tahun_anggaran!B$5:C$7, 2, FALSE)',</t>
        </is>
      </c>
    </row>
    <row r="69">
      <c r="B69" s="15" t="inlineStr">
        <is>
          <t xml:space="preserve">      postData.nilai_kontrak</t>
        </is>
      </c>
    </row>
    <row r="70">
      <c r="B70" s="15" t="inlineStr">
        <is>
          <t xml:space="preserve">    ]);</t>
        </is>
      </c>
    </row>
    <row r="71">
      <c r="B71" s="15" t="inlineStr">
        <is>
          <t xml:space="preserve">    </t>
        </is>
      </c>
    </row>
    <row r="72">
      <c r="B72" s="15" t="inlineStr">
        <is>
          <t xml:space="preserve">    return ContentService</t>
        </is>
      </c>
    </row>
    <row r="73">
      <c r="B73" s="15" t="inlineStr">
        <is>
          <t xml:space="preserve">      .createTextOutput(JSON.stringify({ status: 'success', message: 'Data berhasil ditambahkan!' }))</t>
        </is>
      </c>
    </row>
    <row r="74">
      <c r="B74" s="15" t="inlineStr">
        <is>
          <t xml:space="preserve">      .setMimeType(ContentService.MimeType.JSON);</t>
        </is>
      </c>
    </row>
    <row r="75">
      <c r="B75" s="15" t="inlineStr">
        <is>
          <t xml:space="preserve">  } catch (err) {</t>
        </is>
      </c>
    </row>
    <row r="76">
      <c r="B76" s="15" t="inlineStr">
        <is>
          <t xml:space="preserve">    return ContentService</t>
        </is>
      </c>
    </row>
    <row r="77">
      <c r="B77" s="15" t="inlineStr">
        <is>
          <t xml:space="preserve">      .createTextOutput(JSON.stringify({ status: 'error', message: err.toString() }))</t>
        </is>
      </c>
    </row>
    <row r="78">
      <c r="B78" s="15" t="inlineStr">
        <is>
          <t xml:space="preserve">      .setMimeType(ContentService.MimeType.JSON);</t>
        </is>
      </c>
    </row>
    <row r="79">
      <c r="B79" s="15" t="inlineStr">
        <is>
          <t xml:space="preserve">  }</t>
        </is>
      </c>
    </row>
    <row r="80">
      <c r="B80" s="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2026-09-23T02:44:32Z</dcterms:created>
  <dcterms:modified xmlns:dcterms="http://purl.org/dc/terms/" xmlns:xsi="http://www.w3.org/2001/XMLSchema-instance" xsi:type="dcterms:W3CDTF">2026-09-23T02:44:32Z</dcterms:modified>
</cp:coreProperties>
</file>